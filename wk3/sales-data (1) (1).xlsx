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dd\School\Data Analytics Bootcamp\my-data-analytics-journey\personal_work\wk3\"/>
    </mc:Choice>
  </mc:AlternateContent>
  <xr:revisionPtr revIDLastSave="0" documentId="13_ncr:1_{98C23211-FD80-4AB5-AA4F-9AF7AF1407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shboard" sheetId="2" r:id="rId1"/>
    <sheet name="Data" sheetId="1" r:id="rId2"/>
  </sheets>
  <definedNames>
    <definedName name="_xlnm._FilterDatabase" localSheetId="1" hidden="1">Data!$A$1:$W$1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" l="1"/>
  <c r="K7" i="2"/>
  <c r="K6" i="2"/>
  <c r="K5" i="2"/>
  <c r="F13" i="2"/>
  <c r="E13" i="2"/>
  <c r="D13" i="2"/>
  <c r="G12" i="2"/>
  <c r="G11" i="2"/>
  <c r="G10" i="2"/>
  <c r="G9" i="2"/>
  <c r="G8" i="2"/>
  <c r="G7" i="2"/>
  <c r="G6" i="2"/>
  <c r="G5" i="2"/>
  <c r="G4" i="2"/>
  <c r="C18" i="1"/>
  <c r="C17" i="1"/>
  <c r="C16" i="1"/>
  <c r="C15" i="1"/>
  <c r="I2" i="1"/>
  <c r="I3" i="1"/>
  <c r="I4" i="1"/>
  <c r="I5" i="1"/>
  <c r="I6" i="1"/>
  <c r="I7" i="1"/>
  <c r="I8" i="1"/>
  <c r="I9" i="1"/>
  <c r="I10" i="1"/>
  <c r="C11" i="1"/>
  <c r="D11" i="1"/>
  <c r="E11" i="1"/>
  <c r="H2" i="1"/>
  <c r="H3" i="1"/>
  <c r="H4" i="1"/>
  <c r="H5" i="1"/>
  <c r="H6" i="1"/>
  <c r="H7" i="1"/>
  <c r="H8" i="1"/>
  <c r="H9" i="1"/>
  <c r="H10" i="1"/>
  <c r="G2" i="1"/>
  <c r="G3" i="1"/>
  <c r="G4" i="1"/>
  <c r="G5" i="1"/>
  <c r="G6" i="1"/>
  <c r="G7" i="1"/>
  <c r="G8" i="1"/>
  <c r="G9" i="1"/>
  <c r="G10" i="1"/>
  <c r="F2" i="1"/>
  <c r="F3" i="1"/>
  <c r="F4" i="1"/>
  <c r="F5" i="1"/>
  <c r="F6" i="1"/>
  <c r="F7" i="1"/>
  <c r="F8" i="1"/>
  <c r="F9" i="1"/>
  <c r="F10" i="1"/>
  <c r="G13" i="2" l="1"/>
  <c r="F11" i="1"/>
</calcChain>
</file>

<file path=xl/sharedStrings.xml><?xml version="1.0" encoding="utf-8"?>
<sst xmlns="http://schemas.openxmlformats.org/spreadsheetml/2006/main" count="65" uniqueCount="31">
  <si>
    <t>Product</t>
  </si>
  <si>
    <t>Category</t>
  </si>
  <si>
    <t>Jan Sales</t>
  </si>
  <si>
    <t>Feb Sales</t>
  </si>
  <si>
    <t>Mar Sales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</si>
  <si>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</si>
  <si>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</si>
  <si>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</si>
  <si>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</si>
  <si>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</si>
  <si>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</si>
  <si>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</si>
  <si>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</si>
  <si>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</si>
  <si>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</si>
  <si>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</si>
  <si>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</si>
  <si>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</si>
  <si>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</si>
  <si>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</si>
  <si>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Average Monthly Sales</t>
  </si>
  <si>
    <t>Total Sales</t>
  </si>
  <si>
    <t>Best Month</t>
  </si>
  <si>
    <t>Worst Month</t>
  </si>
  <si>
    <t>Total_by_Product</t>
  </si>
  <si>
    <t>Total_by_Month</t>
  </si>
  <si>
    <t>Summary</t>
  </si>
  <si>
    <t>Average_by_Product</t>
  </si>
  <si>
    <t>Best_by_Product</t>
  </si>
  <si>
    <t>Worst_by_Product</t>
  </si>
  <si>
    <t>2026 Q1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</si>
</sst>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7354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6" xfId="0" applyFont="1" applyBorder="1"/>
    <xf numFmtId="0" fontId="1" fillId="0" borderId="7" xfId="0" applyFont="1" applyBorder="1"/>
    <xf numFmtId="164" fontId="1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9" xfId="0" applyFont="1" applyBorder="1"/>
    <xf numFmtId="164" fontId="1" fillId="0" borderId="5" xfId="0" applyNumberFormat="1" applyFont="1" applyBorder="1"/>
    <xf numFmtId="164" fontId="1" fillId="0" borderId="8" xfId="0" applyNumberFormat="1" applyFont="1" applyBorder="1"/>
    <xf numFmtId="0" fontId="1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10" xfId="0" applyFont="1" applyBorder="1"/>
    <xf numFmtId="164" fontId="0" fillId="0" borderId="9" xfId="0" applyNumberFormat="1" applyFont="1" applyBorder="1"/>
    <xf numFmtId="0" fontId="0" fillId="0" borderId="12" xfId="0" applyFont="1" applyBorder="1"/>
    <xf numFmtId="0" fontId="0" fillId="0" borderId="13" xfId="0" applyFont="1" applyBorder="1"/>
    <xf numFmtId="164" fontId="0" fillId="0" borderId="13" xfId="0" applyNumberFormat="1" applyFont="1" applyBorder="1"/>
    <xf numFmtId="0" fontId="4" fillId="3" borderId="3" xfId="0" applyFont="1" applyFill="1" applyBorder="1" applyAlignment="1">
      <alignment horizontal="center" vertical="center"/>
    </xf>
    <xf numFmtId="164" fontId="2" fillId="0" borderId="11" xfId="0" applyNumberFormat="1" applyFont="1" applyBorder="1"/>
    <xf numFmtId="164" fontId="2" fillId="0" borderId="14" xfId="0" applyNumberFormat="1" applyFont="1" applyBorder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$&quot;#,##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 Sales by Product</a:t>
            </a:r>
          </a:p>
        </c:rich>
      </c:tx>
      <c:layout>
        <c:manualLayout>
          <c:xMode val="edge"/>
          <c:yMode val="edge"/>
          <c:x val="0.27861991012056436"/>
          <c:y val="3.6985668053629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Jan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Data!$C$2:$C$10</c:f>
              <c:numCache>
                <c:formatCode>"$"#,##0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2-4E92-B67D-3517EA58FFB7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Feb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Data!$D$2:$D$10</c:f>
              <c:numCache>
                <c:formatCode>"$"#,##0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2-4E92-B67D-3517EA58FFB7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Mar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Data!$E$2:$E$10</c:f>
              <c:numCache>
                <c:formatCode>"$"#,##0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52-4E92-B67D-3517EA58F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4540896"/>
        <c:axId val="1284542816"/>
      </c:barChart>
      <c:catAx>
        <c:axId val="12845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42816"/>
        <c:crosses val="autoZero"/>
        <c:auto val="1"/>
        <c:lblAlgn val="ctr"/>
        <c:lblOffset val="100"/>
        <c:noMultiLvlLbl val="0"/>
      </c:catAx>
      <c:valAx>
        <c:axId val="12845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</a:t>
            </a:r>
            <a:r>
              <a:rPr lang="en-US" baseline="0"/>
              <a:t> Sales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34519352857746"/>
          <c:y val="0.18341470364221174"/>
          <c:w val="0.59968158642950642"/>
          <c:h val="0.62589493641061056"/>
        </c:manualLayout>
      </c:layout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Laptop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Data!$C$2:$E$2</c:f>
              <c:numCache>
                <c:formatCode>"$"#,##0</c:formatCode>
                <c:ptCount val="3"/>
                <c:pt idx="0">
                  <c:v>1200</c:v>
                </c:pt>
                <c:pt idx="1">
                  <c:v>1400</c:v>
                </c:pt>
                <c:pt idx="2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A-455C-9A44-F14BF178CEE2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Smartphone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Data!$C$3:$E$3</c:f>
              <c:numCache>
                <c:formatCode>"$"#,##0</c:formatCode>
                <c:ptCount val="3"/>
                <c:pt idx="0">
                  <c:v>800</c:v>
                </c:pt>
                <c:pt idx="1">
                  <c:v>950</c:v>
                </c:pt>
                <c:pt idx="2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A-455C-9A44-F14BF178CEE2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Headphones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Data!$C$4:$E$4</c:f>
              <c:numCache>
                <c:formatCode>"$"#,##0</c:formatCode>
                <c:ptCount val="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A-455C-9A44-F14BF178CEE2}"/>
            </c:ext>
          </c:extLst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Desk Chair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Data!$C$5:$E$5</c:f>
              <c:numCache>
                <c:formatCode>"$"#,##0</c:formatCode>
                <c:ptCount val="3"/>
                <c:pt idx="0">
                  <c:v>350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AA-455C-9A44-F14BF178CEE2}"/>
            </c:ext>
          </c:extLst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Coffee Maker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Data!$C$6:$E$6</c:f>
              <c:numCache>
                <c:formatCode>"$"#,##0</c:formatCode>
                <c:ptCount val="3"/>
                <c:pt idx="0">
                  <c:v>120</c:v>
                </c:pt>
                <c:pt idx="1">
                  <c:v>140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AA-455C-9A44-F14BF178CEE2}"/>
            </c:ext>
          </c:extLst>
        </c:ser>
        <c:ser>
          <c:idx val="5"/>
          <c:order val="5"/>
          <c:tx>
            <c:strRef>
              <c:f>Data!$A$7</c:f>
              <c:strCache>
                <c:ptCount val="1"/>
                <c:pt idx="0">
                  <c:v>Blender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Data!$C$7:$E$7</c:f>
              <c:numCache>
                <c:formatCode>"$"#,##0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AA-455C-9A44-F14BF178CEE2}"/>
            </c:ext>
          </c:extLst>
        </c:ser>
        <c:ser>
          <c:idx val="6"/>
          <c:order val="6"/>
          <c:tx>
            <c:strRef>
              <c:f>Data!$A$8</c:f>
              <c:strCache>
                <c:ptCount val="1"/>
                <c:pt idx="0">
                  <c:v>T-Shirt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Data!$C$8:$E$8</c:f>
              <c:numCache>
                <c:formatCode>"$"#,##0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AA-455C-9A44-F14BF178CEE2}"/>
            </c:ext>
          </c:extLst>
        </c:ser>
        <c:ser>
          <c:idx val="7"/>
          <c:order val="7"/>
          <c:tx>
            <c:strRef>
              <c:f>Data!$A$9</c:f>
              <c:strCache>
                <c:ptCount val="1"/>
                <c:pt idx="0">
                  <c:v>Jeans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Data!$C$9:$E$9</c:f>
              <c:numCache>
                <c:formatCode>"$"#,##0</c:formatCode>
                <c:ptCount val="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AA-455C-9A44-F14BF178CEE2}"/>
            </c:ext>
          </c:extLst>
        </c:ser>
        <c:ser>
          <c:idx val="8"/>
          <c:order val="8"/>
          <c:tx>
            <c:strRef>
              <c:f>Data!$A$10</c:f>
              <c:strCache>
                <c:ptCount val="1"/>
                <c:pt idx="0">
                  <c:v>Sneakers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Data!$C$10:$E$10</c:f>
              <c:numCache>
                <c:formatCode>"$"#,##0</c:formatCode>
                <c:ptCount val="3"/>
                <c:pt idx="0">
                  <c:v>250</c:v>
                </c:pt>
                <c:pt idx="1">
                  <c:v>280</c:v>
                </c:pt>
                <c:pt idx="2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AA-455C-9A44-F14BF178C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1072793423"/>
        <c:axId val="1072796303"/>
      </c:lineChart>
      <c:catAx>
        <c:axId val="107279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96303"/>
        <c:crosses val="autoZero"/>
        <c:auto val="1"/>
        <c:lblAlgn val="ctr"/>
        <c:lblOffset val="100"/>
        <c:noMultiLvlLbl val="0"/>
      </c:catAx>
      <c:valAx>
        <c:axId val="107279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41562258922463"/>
          <c:y val="0.21389231356518848"/>
          <c:w val="0.28393158806856056"/>
          <c:h val="0.70459783341278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Data!$C$1</c:f>
              <c:strCache>
                <c:ptCount val="1"/>
                <c:pt idx="0">
                  <c:v>Jan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57-4C4D-B1A3-4BFBE0ABFD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57-4C4D-B1A3-4BFBE0ABFD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57-4C4D-B1A3-4BFBE0ABFD2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57-4C4D-B1A3-4BFBE0ABFD2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57-4C4D-B1A3-4BFBE0ABFD2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057-4C4D-B1A3-4BFBE0ABFD2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057-4C4D-B1A3-4BFBE0ABFD2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057-4C4D-B1A3-4BFBE0ABFD2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057-4C4D-B1A3-4BFBE0ABFD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Data!$F$2:$F$10</c:f>
              <c:numCache>
                <c:formatCode>"$"#,##0</c:formatCode>
                <c:ptCount val="9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057-4C4D-B1A3-4BFBE0ABFD28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Feb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057-4C4D-B1A3-4BFBE0ABFD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C057-4C4D-B1A3-4BFBE0ABFD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C057-4C4D-B1A3-4BFBE0ABFD2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C057-4C4D-B1A3-4BFBE0ABFD2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C057-4C4D-B1A3-4BFBE0ABFD2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C057-4C4D-B1A3-4BFBE0ABFD2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C057-4C4D-B1A3-4BFBE0ABFD2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C057-4C4D-B1A3-4BFBE0ABFD2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C057-4C4D-B1A3-4BFBE0ABFD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Data!$D$2:$D$10</c:f>
              <c:numCache>
                <c:formatCode>"$"#,##0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057-4C4D-B1A3-4BFBE0ABFD28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Mar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057-4C4D-B1A3-4BFBE0ABFD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057-4C4D-B1A3-4BFBE0ABFD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057-4C4D-B1A3-4BFBE0ABFD2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057-4C4D-B1A3-4BFBE0ABFD2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057-4C4D-B1A3-4BFBE0ABFD2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057-4C4D-B1A3-4BFBE0ABFD2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057-4C4D-B1A3-4BFBE0ABFD2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057-4C4D-B1A3-4BFBE0ABFD2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057-4C4D-B1A3-4BFBE0ABFD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Data!$E$2:$E$10</c:f>
              <c:numCache>
                <c:formatCode>"$"#,##0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C057-4C4D-B1A3-4BFBE0ABFD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 Sales by Product</a:t>
            </a:r>
          </a:p>
        </c:rich>
      </c:tx>
      <c:layout>
        <c:manualLayout>
          <c:xMode val="edge"/>
          <c:yMode val="edge"/>
          <c:x val="0.27861991012056436"/>
          <c:y val="3.6985668053629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Jan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Data!$C$2:$C$10</c:f>
              <c:numCache>
                <c:formatCode>"$"#,##0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F-4ADD-B8E7-904A342757B6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Feb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Data!$D$2:$D$10</c:f>
              <c:numCache>
                <c:formatCode>"$"#,##0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F-4ADD-B8E7-904A342757B6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Mar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Data!$A$2:$B$10</c15:sqref>
                  </c15:fullRef>
                  <c15:levelRef>
                    <c15:sqref>Data!$A$2:$A$10</c15:sqref>
                  </c15:levelRef>
                </c:ext>
              </c:extLst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Data!$E$2:$E$10</c:f>
              <c:numCache>
                <c:formatCode>"$"#,##0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F-4ADD-B8E7-904A34275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4540896"/>
        <c:axId val="1284542816"/>
      </c:barChart>
      <c:catAx>
        <c:axId val="12845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42816"/>
        <c:crosses val="autoZero"/>
        <c:auto val="1"/>
        <c:lblAlgn val="ctr"/>
        <c:lblOffset val="100"/>
        <c:noMultiLvlLbl val="0"/>
      </c:catAx>
      <c:valAx>
        <c:axId val="12845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</a:t>
            </a:r>
            <a:r>
              <a:rPr lang="en-US" baseline="0"/>
              <a:t> Sales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34519352857746"/>
          <c:y val="0.18341470364221174"/>
          <c:w val="0.59968158642950642"/>
          <c:h val="0.62589493641061056"/>
        </c:manualLayout>
      </c:layout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Laptop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Data!$C$2:$E$2</c:f>
              <c:numCache>
                <c:formatCode>"$"#,##0</c:formatCode>
                <c:ptCount val="3"/>
                <c:pt idx="0">
                  <c:v>1200</c:v>
                </c:pt>
                <c:pt idx="1">
                  <c:v>1400</c:v>
                </c:pt>
                <c:pt idx="2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6-4D1E-A756-7B1D5C71A3B6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Smartphone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Data!$C$3:$E$3</c:f>
              <c:numCache>
                <c:formatCode>"$"#,##0</c:formatCode>
                <c:ptCount val="3"/>
                <c:pt idx="0">
                  <c:v>800</c:v>
                </c:pt>
                <c:pt idx="1">
                  <c:v>950</c:v>
                </c:pt>
                <c:pt idx="2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6-4D1E-A756-7B1D5C71A3B6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Headphones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Data!$C$4:$E$4</c:f>
              <c:numCache>
                <c:formatCode>"$"#,##0</c:formatCode>
                <c:ptCount val="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6-4D1E-A756-7B1D5C71A3B6}"/>
            </c:ext>
          </c:extLst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Desk Chair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Data!$C$5:$E$5</c:f>
              <c:numCache>
                <c:formatCode>"$"#,##0</c:formatCode>
                <c:ptCount val="3"/>
                <c:pt idx="0">
                  <c:v>350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236-4D1E-A756-7B1D5C71A3B6}"/>
            </c:ext>
          </c:extLst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Coffee Maker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Data!$C$6:$E$6</c:f>
              <c:numCache>
                <c:formatCode>"$"#,##0</c:formatCode>
                <c:ptCount val="3"/>
                <c:pt idx="0">
                  <c:v>120</c:v>
                </c:pt>
                <c:pt idx="1">
                  <c:v>140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236-4D1E-A756-7B1D5C71A3B6}"/>
            </c:ext>
          </c:extLst>
        </c:ser>
        <c:ser>
          <c:idx val="5"/>
          <c:order val="5"/>
          <c:tx>
            <c:strRef>
              <c:f>Data!$A$7</c:f>
              <c:strCache>
                <c:ptCount val="1"/>
                <c:pt idx="0">
                  <c:v>Blender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Data!$C$7:$E$7</c:f>
              <c:numCache>
                <c:formatCode>"$"#,##0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236-4D1E-A756-7B1D5C71A3B6}"/>
            </c:ext>
          </c:extLst>
        </c:ser>
        <c:ser>
          <c:idx val="6"/>
          <c:order val="6"/>
          <c:tx>
            <c:strRef>
              <c:f>Data!$A$8</c:f>
              <c:strCache>
                <c:ptCount val="1"/>
                <c:pt idx="0">
                  <c:v>T-Shirt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Data!$C$8:$E$8</c:f>
              <c:numCache>
                <c:formatCode>"$"#,##0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236-4D1E-A756-7B1D5C71A3B6}"/>
            </c:ext>
          </c:extLst>
        </c:ser>
        <c:ser>
          <c:idx val="7"/>
          <c:order val="7"/>
          <c:tx>
            <c:strRef>
              <c:f>Data!$A$9</c:f>
              <c:strCache>
                <c:ptCount val="1"/>
                <c:pt idx="0">
                  <c:v>Jeans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Data!$C$9:$E$9</c:f>
              <c:numCache>
                <c:formatCode>"$"#,##0</c:formatCode>
                <c:ptCount val="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236-4D1E-A756-7B1D5C71A3B6}"/>
            </c:ext>
          </c:extLst>
        </c:ser>
        <c:ser>
          <c:idx val="8"/>
          <c:order val="8"/>
          <c:tx>
            <c:strRef>
              <c:f>Data!$A$10</c:f>
              <c:strCache>
                <c:ptCount val="1"/>
                <c:pt idx="0">
                  <c:v>Sneakers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Data!$C$1:$E$1</c:f>
              <c:strCache>
                <c:ptCount val="3"/>
                <c:pt idx="0">
                  <c:v>Jan Sales</c:v>
                </c:pt>
                <c:pt idx="1">
                  <c:v>Feb Sales</c:v>
                </c:pt>
                <c:pt idx="2">
                  <c:v>Mar Sales</c:v>
                </c:pt>
              </c:strCache>
            </c:strRef>
          </c:cat>
          <c:val>
            <c:numRef>
              <c:f>Data!$C$10:$E$10</c:f>
              <c:numCache>
                <c:formatCode>"$"#,##0</c:formatCode>
                <c:ptCount val="3"/>
                <c:pt idx="0">
                  <c:v>250</c:v>
                </c:pt>
                <c:pt idx="1">
                  <c:v>280</c:v>
                </c:pt>
                <c:pt idx="2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236-4D1E-A756-7B1D5C71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1072793423"/>
        <c:axId val="1072796303"/>
      </c:lineChart>
      <c:catAx>
        <c:axId val="107279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96303"/>
        <c:crosses val="autoZero"/>
        <c:auto val="1"/>
        <c:lblAlgn val="ctr"/>
        <c:lblOffset val="100"/>
        <c:noMultiLvlLbl val="0"/>
      </c:catAx>
      <c:valAx>
        <c:axId val="107279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41562258922463"/>
          <c:y val="0.21389231356518848"/>
          <c:w val="0.28393158806856056"/>
          <c:h val="0.70459783341278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Q1: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Data!$C$1</c:f>
              <c:strCache>
                <c:ptCount val="1"/>
                <c:pt idx="0">
                  <c:v>Jan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93-4BD3-95DF-2ACBC68020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93-4BD3-95DF-2ACBC68020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93-4BD3-95DF-2ACBC680200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93-4BD3-95DF-2ACBC680200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93-4BD3-95DF-2ACBC680200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93-4BD3-95DF-2ACBC680200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593-4BD3-95DF-2ACBC680200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593-4BD3-95DF-2ACBC680200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593-4BD3-95DF-2ACBC6802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Data!$F$2:$F$10</c:f>
              <c:numCache>
                <c:formatCode>"$"#,##0</c:formatCode>
                <c:ptCount val="9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E-4C2C-AB57-DDAFA7EB2E09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Feb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593-4BD3-95DF-2ACBC68020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593-4BD3-95DF-2ACBC68020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593-4BD3-95DF-2ACBC680200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593-4BD3-95DF-2ACBC680200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593-4BD3-95DF-2ACBC680200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593-4BD3-95DF-2ACBC680200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593-4BD3-95DF-2ACBC680200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593-4BD3-95DF-2ACBC680200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593-4BD3-95DF-2ACBC6802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Data!$D$2:$D$10</c:f>
              <c:numCache>
                <c:formatCode>"$"#,##0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E-4C2C-AB57-DDAFA7EB2E09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Mar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593-4BD3-95DF-2ACBC68020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593-4BD3-95DF-2ACBC68020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593-4BD3-95DF-2ACBC680200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593-4BD3-95DF-2ACBC680200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593-4BD3-95DF-2ACBC680200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593-4BD3-95DF-2ACBC680200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593-4BD3-95DF-2ACBC680200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593-4BD3-95DF-2ACBC680200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593-4BD3-95DF-2ACBC6802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Data!$E$2:$E$10</c:f>
              <c:numCache>
                <c:formatCode>"$"#,##0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E-4C2C-AB57-DDAFA7EB2E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600076</xdr:colOff>
      <xdr:row>14</xdr:row>
      <xdr:rowOff>17151</xdr:rowOff>
    </xdr:from>
    <xdr:to>
      <xdr:col>19</xdr:col>
      <xdr:colOff>234315</xdr:colOff>
      <xdr:row>31</xdr:row>
      <xdr:rowOff>11430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EFE924A-7F36-498C-E3FC-304D3F72C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662940</xdr:colOff>
      <xdr:row>14</xdr:row>
      <xdr:rowOff>19056</xdr:rowOff>
    </xdr:from>
    <xdr:to>
      <xdr:col>12</xdr:col>
      <xdr:colOff>514350</xdr:colOff>
      <xdr:row>31</xdr:row>
      <xdr:rowOff>7619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192E4C10-DCB1-436C-BEFF-206E17566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24766</xdr:colOff>
      <xdr:row>14</xdr:row>
      <xdr:rowOff>11436</xdr:rowOff>
    </xdr:from>
    <xdr:to>
      <xdr:col>6</xdr:col>
      <xdr:colOff>596266</xdr:colOff>
      <xdr:row>30</xdr:row>
      <xdr:rowOff>167646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F10E81D3-B112-BF0B-1190-7B3C16948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65720</xdr:colOff>
      <xdr:row>18</xdr:row>
      <xdr:rowOff>91446</xdr:rowOff>
    </xdr:from>
    <xdr:to>
      <xdr:col>4</xdr:col>
      <xdr:colOff>361949</xdr:colOff>
      <xdr:row>33</xdr:row>
      <xdr:rowOff>78111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8A981-3078-DC8A-43FB-FE28816D5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449580</xdr:colOff>
      <xdr:row>18</xdr:row>
      <xdr:rowOff>91446</xdr:rowOff>
    </xdr:from>
    <xdr:to>
      <xdr:col>7</xdr:col>
      <xdr:colOff>1173480</xdr:colOff>
      <xdr:row>33</xdr:row>
      <xdr:rowOff>68586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84E2C-C0BB-4951-CDA2-4D704441F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1289684</xdr:colOff>
      <xdr:row>18</xdr:row>
      <xdr:rowOff>93351</xdr:rowOff>
    </xdr:from>
    <xdr:to>
      <xdr:col>14</xdr:col>
      <xdr:colOff>548640</xdr:colOff>
      <xdr:row>33</xdr:row>
      <xdr:rowOff>57156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5EF4B2-4862-BA8C-F82D-A2A756D0F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381C3-D44E-4993-B39A-F3DA340C1707}" name="Table1" displayName="Table1" ref="A1:I11" headerRowDxfId="18" dataDxfId="17" tableBorderDxfId="16">
  <autoFilter ref="A1:I11" xr:uid="{C74381C3-D44E-4993-B39A-F3DA340C1707}"/>
  <tableColumns count="9">
    <tableColumn id="1" xr3:uid="{0D55B1E4-C958-49A2-8C77-0EACC0117BC6}" name="Product" totalsRowLabel="Total"/>
    <tableColumn id="2" xr3:uid="{B3D54074-6951-4A65-931C-2987795410CE}" name="Category"/>
    <tableColumn id="3" xr3:uid="{E7DA1A63-3040-44A5-85FC-2892067EFD06}" name="Jan Sales" dataDxfId="15" totalsRowDxfId="14"/>
    <tableColumn id="4" xr3:uid="{59945DA3-8CA7-45FC-B05D-9409D1552E41}" name="Feb Sales" dataDxfId="13" totalsRowDxfId="12"/>
    <tableColumn id="5" xr3:uid="{092B368D-4FEE-4CF6-AC14-AF07C12CE974}" name="Mar Sales" dataDxfId="11" totalsRowDxfId="10"/>
    <tableColumn id="6" xr3:uid="{0A35C903-EA68-4FA7-9503-D48313274CE2}" name="Total_by_Product" dataDxfId="9" totalsRowDxfId="8"/>
    <tableColumn id="7" xr3:uid="{B960BE9D-BF14-48F0-9C6A-B8CADED56E64}" name="Average_by_Product" dataDxfId="7" totalsRowDxfId="6">
      <calculatedColumnFormula>AVERAGE(Table1[[#This Row],[Jan Sales]:[Mar Sales]])</calculatedColumnFormula>
    </tableColumn>
    <tableColumn id="8" xr3:uid="{7E217159-4506-4703-938D-8B196C0024DA}" name="Best_by_Product" dataDxfId="5" totalsRowDxfId="4">
      <calculatedColumnFormula>MAX(Table1[[#This Row],[Jan Sales]:[Mar Sales]])</calculatedColumnFormula>
    </tableColumn>
    <tableColumn id="9" xr3:uid="{22C6E0EC-008B-482C-9884-1472444ADB69}" name="Worst_by_Product" totalsRowFunction="sum" dataDxfId="3" totalsRowDxfId="2">
      <calculatedColumnFormula>MIN(Table1[[#This Row],[Jan Sales]:[Mar Sales]])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50FF-D511-44CD-A9D2-6FFB631103F8}">
  <dimension ref="B1:S13"/>
  <sheetViews>
    <sheetView tabSelected="1" workbookViewId="0">
      <selection activeCell="J11" sqref="J11"/>
    </sheetView>
  </sheetViews>
  <sheetFormatPr defaultRowHeight="14.4" x14ac:dyDescent="0.3"/>
  <cols>
    <col min="1" max="1" width="3.88671875" customWidth="1"/>
    <col min="2" max="2" width="13.88671875" customWidth="1"/>
    <col min="3" max="3" width="13.33203125" customWidth="1"/>
    <col min="4" max="4" width="8.88671875" bestFit="1" customWidth="1"/>
    <col min="5" max="6" width="9.33203125" bestFit="1" customWidth="1"/>
    <col min="7" max="7" width="16" bestFit="1" customWidth="1"/>
    <col min="10" max="10" width="12.21875" customWidth="1"/>
  </cols>
  <sheetData>
    <row r="1" spans="2:19" ht="48.6" customHeight="1" x14ac:dyDescent="0.3">
      <c r="B1" s="32" t="s">
        <v>30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2:19" ht="15" customHeight="1" thickBot="1" x14ac:dyDescent="0.35"/>
    <row r="3" spans="2:19" ht="15" thickBot="1" x14ac:dyDescent="0.35">
      <c r="B3" s="21" t="s">
        <v>0</v>
      </c>
      <c r="C3" s="22" t="s">
        <v>1</v>
      </c>
      <c r="D3" s="23" t="s">
        <v>2</v>
      </c>
      <c r="E3" s="22" t="s">
        <v>3</v>
      </c>
      <c r="F3" s="22" t="s">
        <v>4</v>
      </c>
      <c r="G3" s="29" t="s">
        <v>24</v>
      </c>
    </row>
    <row r="4" spans="2:19" x14ac:dyDescent="0.3">
      <c r="B4" s="24" t="s">
        <v>5</v>
      </c>
      <c r="C4" s="13" t="s">
        <v>6</v>
      </c>
      <c r="D4" s="25">
        <v>1200</v>
      </c>
      <c r="E4" s="25">
        <v>1400</v>
      </c>
      <c r="F4" s="25">
        <v>1350</v>
      </c>
      <c r="G4" s="30">
        <f>SUM(D4:F4)</f>
        <v>3950</v>
      </c>
      <c r="I4" s="17" t="s">
        <v>26</v>
      </c>
      <c r="J4" s="18"/>
      <c r="K4" s="19"/>
    </row>
    <row r="5" spans="2:19" x14ac:dyDescent="0.3">
      <c r="B5" s="24" t="s">
        <v>7</v>
      </c>
      <c r="C5" s="13" t="s">
        <v>6</v>
      </c>
      <c r="D5" s="25">
        <v>800</v>
      </c>
      <c r="E5" s="25">
        <v>950</v>
      </c>
      <c r="F5" s="25">
        <v>1100</v>
      </c>
      <c r="G5" s="30">
        <f t="shared" ref="G5:G12" si="0">SUM(D5:F5)</f>
        <v>2850</v>
      </c>
      <c r="I5" s="7" t="s">
        <v>21</v>
      </c>
      <c r="J5" s="16"/>
      <c r="K5" s="14">
        <f>Data!$C$15</f>
        <v>11810</v>
      </c>
    </row>
    <row r="6" spans="2:19" x14ac:dyDescent="0.3">
      <c r="B6" s="24" t="s">
        <v>8</v>
      </c>
      <c r="C6" s="13" t="s">
        <v>6</v>
      </c>
      <c r="D6" s="25">
        <v>150</v>
      </c>
      <c r="E6" s="25">
        <v>200</v>
      </c>
      <c r="F6" s="25">
        <v>250</v>
      </c>
      <c r="G6" s="30">
        <f t="shared" si="0"/>
        <v>600</v>
      </c>
      <c r="I6" s="7" t="s">
        <v>20</v>
      </c>
      <c r="J6" s="16"/>
      <c r="K6" s="20">
        <f>Data!$C$16</f>
        <v>3937</v>
      </c>
    </row>
    <row r="7" spans="2:19" x14ac:dyDescent="0.3">
      <c r="B7" s="24" t="s">
        <v>9</v>
      </c>
      <c r="C7" s="13" t="s">
        <v>10</v>
      </c>
      <c r="D7" s="25">
        <v>350</v>
      </c>
      <c r="E7" s="25">
        <v>300</v>
      </c>
      <c r="F7" s="25">
        <v>400</v>
      </c>
      <c r="G7" s="30">
        <f t="shared" si="0"/>
        <v>1050</v>
      </c>
      <c r="I7" s="7" t="s">
        <v>22</v>
      </c>
      <c r="J7" s="16"/>
      <c r="K7" s="14">
        <f>Data!$C$17</f>
        <v>4390</v>
      </c>
    </row>
    <row r="8" spans="2:19" ht="15" thickBot="1" x14ac:dyDescent="0.35">
      <c r="B8" s="24" t="s">
        <v>11</v>
      </c>
      <c r="C8" s="13" t="s">
        <v>12</v>
      </c>
      <c r="D8" s="25">
        <v>120</v>
      </c>
      <c r="E8" s="25">
        <v>140</v>
      </c>
      <c r="F8" s="25">
        <v>160</v>
      </c>
      <c r="G8" s="30">
        <f t="shared" si="0"/>
        <v>420</v>
      </c>
      <c r="I8" s="8" t="s">
        <v>23</v>
      </c>
      <c r="J8" s="9"/>
      <c r="K8" s="15">
        <f>Data!$C$18</f>
        <v>3450</v>
      </c>
    </row>
    <row r="9" spans="2:19" x14ac:dyDescent="0.3">
      <c r="B9" s="24" t="s">
        <v>14</v>
      </c>
      <c r="C9" s="13" t="s">
        <v>12</v>
      </c>
      <c r="D9" s="25">
        <v>80</v>
      </c>
      <c r="E9" s="25">
        <v>100</v>
      </c>
      <c r="F9" s="25">
        <v>110</v>
      </c>
      <c r="G9" s="30">
        <f t="shared" si="0"/>
        <v>290</v>
      </c>
    </row>
    <row r="10" spans="2:19" x14ac:dyDescent="0.3">
      <c r="B10" s="24" t="s">
        <v>15</v>
      </c>
      <c r="C10" s="13" t="s">
        <v>16</v>
      </c>
      <c r="D10" s="25">
        <v>200</v>
      </c>
      <c r="E10" s="25">
        <v>250</v>
      </c>
      <c r="F10" s="25">
        <v>300</v>
      </c>
      <c r="G10" s="30">
        <f t="shared" si="0"/>
        <v>750</v>
      </c>
    </row>
    <row r="11" spans="2:19" x14ac:dyDescent="0.3">
      <c r="B11" s="24" t="s">
        <v>17</v>
      </c>
      <c r="C11" s="13" t="s">
        <v>16</v>
      </c>
      <c r="D11" s="25">
        <v>300</v>
      </c>
      <c r="E11" s="25">
        <v>350</v>
      </c>
      <c r="F11" s="25">
        <v>400</v>
      </c>
      <c r="G11" s="30">
        <f t="shared" si="0"/>
        <v>1050</v>
      </c>
    </row>
    <row r="12" spans="2:19" x14ac:dyDescent="0.3">
      <c r="B12" s="24" t="s">
        <v>18</v>
      </c>
      <c r="C12" s="13" t="s">
        <v>19</v>
      </c>
      <c r="D12" s="25">
        <v>250</v>
      </c>
      <c r="E12" s="25">
        <v>280</v>
      </c>
      <c r="F12" s="25">
        <v>320</v>
      </c>
      <c r="G12" s="30">
        <f t="shared" si="0"/>
        <v>850</v>
      </c>
    </row>
    <row r="13" spans="2:19" ht="15" thickBot="1" x14ac:dyDescent="0.35">
      <c r="B13" s="26" t="s">
        <v>25</v>
      </c>
      <c r="C13" s="27"/>
      <c r="D13" s="28">
        <f>SUM(D4:D12)</f>
        <v>3450</v>
      </c>
      <c r="E13" s="28">
        <f>SUM(E4:E12)</f>
        <v>3970</v>
      </c>
      <c r="F13" s="28">
        <f>SUM(F4:F12)</f>
        <v>4390</v>
      </c>
      <c r="G13" s="31">
        <f>SUM(G4:G12)</f>
        <v>11810</v>
      </c>
    </row>
  </sheetData>
  <mergeCells count="2">
    <mergeCell ref="I4:K4"/>
    <mergeCell ref="B1:S1"/>
  </mergeCells>
  <conditionalFormatting sqref="D4:F12">
    <cfRule type="cellIs" dxfId="1" priority="1" operator="equal">
      <formula>$I4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20.44140625" customWidth="1"/>
    <col min="2" max="2" width="11.33203125" customWidth="1"/>
    <col min="3" max="5" width="11.6640625" customWidth="1"/>
    <col min="6" max="9" width="17.109375" customWidth="1"/>
    <col min="11" max="11" width="80.109375" hidden="1" customWidth="1"/>
  </cols>
  <sheetData>
    <row r="1" spans="1:11" s="2" customFormat="1" ht="33.6" customHeight="1" x14ac:dyDescent="0.3">
      <c r="A1" s="2" t="s">
        <v>0</v>
      </c>
      <c r="B1" s="2" t="s">
        <v>1</v>
      </c>
      <c r="C1" s="12" t="s">
        <v>2</v>
      </c>
      <c r="D1" s="2" t="s">
        <v>3</v>
      </c>
      <c r="E1" s="2" t="s">
        <v>4</v>
      </c>
      <c r="F1" s="2" t="s">
        <v>24</v>
      </c>
      <c r="G1" s="2" t="s">
        <v>27</v>
      </c>
      <c r="H1" s="2" t="s">
        <v>28</v>
      </c>
      <c r="I1" s="2" t="s">
        <v>29</v>
      </c>
    </row>
    <row r="2" spans="1:11" x14ac:dyDescent="0.3">
      <c r="A2" t="s">
        <v>5</v>
      </c>
      <c r="B2" t="s">
        <v>6</v>
      </c>
      <c r="C2" s="10">
        <v>1200</v>
      </c>
      <c r="D2" s="10">
        <v>1400</v>
      </c>
      <c r="E2" s="10">
        <v>1350</v>
      </c>
      <c r="F2" s="11">
        <f>SUM(C2:E2)</f>
        <v>3950</v>
      </c>
      <c r="G2" s="10">
        <f>AVERAGE(Table1[[#This Row],[Jan Sales]:[Mar Sales]])</f>
        <v>1316.6666666666667</v>
      </c>
      <c r="H2" s="10">
        <f>MAX(Table1[[#This Row],[Jan Sales]:[Mar Sales]])</f>
        <v>1400</v>
      </c>
      <c r="I2" s="10">
        <f>MIN(Table1[[#This Row],[Jan Sales]:[Mar Sales]])</f>
        <v>1200</v>
      </c>
    </row>
    <row r="3" spans="1:11" x14ac:dyDescent="0.3">
      <c r="A3" t="s">
        <v>7</v>
      </c>
      <c r="B3" t="s">
        <v>6</v>
      </c>
      <c r="C3" s="10">
        <v>800</v>
      </c>
      <c r="D3" s="10">
        <v>950</v>
      </c>
      <c r="E3" s="10">
        <v>1100</v>
      </c>
      <c r="F3" s="11">
        <f t="shared" ref="F3:F10" si="0">SUM(C3:E3)</f>
        <v>2850</v>
      </c>
      <c r="G3" s="10">
        <f>AVERAGE(Table1[[#This Row],[Jan Sales]:[Mar Sales]])</f>
        <v>950</v>
      </c>
      <c r="H3" s="10">
        <f>MAX(Table1[[#This Row],[Jan Sales]:[Mar Sales]])</f>
        <v>1100</v>
      </c>
      <c r="I3" s="10">
        <f>MIN(Table1[[#This Row],[Jan Sales]:[Mar Sales]])</f>
        <v>800</v>
      </c>
    </row>
    <row r="4" spans="1:11" x14ac:dyDescent="0.3">
      <c r="A4" t="s">
        <v>8</v>
      </c>
      <c r="B4" t="s">
        <v>6</v>
      </c>
      <c r="C4" s="10">
        <v>150</v>
      </c>
      <c r="D4" s="10">
        <v>200</v>
      </c>
      <c r="E4" s="10">
        <v>250</v>
      </c>
      <c r="F4" s="11">
        <f t="shared" si="0"/>
        <v>600</v>
      </c>
      <c r="G4" s="10">
        <f>AVERAGE(Table1[[#This Row],[Jan Sales]:[Mar Sales]])</f>
        <v>200</v>
      </c>
      <c r="H4" s="10">
        <f>MAX(Table1[[#This Row],[Jan Sales]:[Mar Sales]])</f>
        <v>250</v>
      </c>
      <c r="I4" s="10">
        <f>MIN(Table1[[#This Row],[Jan Sales]:[Mar Sales]])</f>
        <v>150</v>
      </c>
    </row>
    <row r="5" spans="1:11" x14ac:dyDescent="0.3">
      <c r="A5" t="s">
        <v>9</v>
      </c>
      <c r="B5" t="s">
        <v>10</v>
      </c>
      <c r="C5" s="10">
        <v>350</v>
      </c>
      <c r="D5" s="10">
        <v>300</v>
      </c>
      <c r="E5" s="10">
        <v>400</v>
      </c>
      <c r="F5" s="11">
        <f t="shared" si="0"/>
        <v>1050</v>
      </c>
      <c r="G5" s="10">
        <f>AVERAGE(Table1[[#This Row],[Jan Sales]:[Mar Sales]])</f>
        <v>350</v>
      </c>
      <c r="H5" s="10">
        <f>MAX(Table1[[#This Row],[Jan Sales]:[Mar Sales]])</f>
        <v>400</v>
      </c>
      <c r="I5" s="10">
        <f>MIN(Table1[[#This Row],[Jan Sales]:[Mar Sales]])</f>
        <v>300</v>
      </c>
    </row>
    <row r="6" spans="1:11" x14ac:dyDescent="0.3">
      <c r="A6" t="s">
        <v>11</v>
      </c>
      <c r="B6" t="s">
        <v>12</v>
      </c>
      <c r="C6" s="10">
        <v>120</v>
      </c>
      <c r="D6" s="10">
        <v>140</v>
      </c>
      <c r="E6" s="10">
        <v>160</v>
      </c>
      <c r="F6" s="11">
        <f t="shared" si="0"/>
        <v>420</v>
      </c>
      <c r="G6" s="10">
        <f>AVERAGE(Table1[[#This Row],[Jan Sales]:[Mar Sales]])</f>
        <v>140</v>
      </c>
      <c r="H6" s="10">
        <f>MAX(Table1[[#This Row],[Jan Sales]:[Mar Sales]])</f>
        <v>160</v>
      </c>
      <c r="I6" s="10">
        <f>MIN(Table1[[#This Row],[Jan Sales]:[Mar Sales]])</f>
        <v>120</v>
      </c>
      <c r="K6" s="3" t="s">
        <v>13</v>
      </c>
    </row>
    <row r="7" spans="1:11" x14ac:dyDescent="0.3">
      <c r="A7" t="s">
        <v>14</v>
      </c>
      <c r="B7" t="s">
        <v>12</v>
      </c>
      <c r="C7" s="10">
        <v>80</v>
      </c>
      <c r="D7" s="10">
        <v>100</v>
      </c>
      <c r="E7" s="10">
        <v>110</v>
      </c>
      <c r="F7" s="11">
        <f t="shared" si="0"/>
        <v>290</v>
      </c>
      <c r="G7" s="10">
        <f>AVERAGE(Table1[[#This Row],[Jan Sales]:[Mar Sales]])</f>
        <v>96.666666666666671</v>
      </c>
      <c r="H7" s="10">
        <f>MAX(Table1[[#This Row],[Jan Sales]:[Mar Sales]])</f>
        <v>110</v>
      </c>
      <c r="I7" s="10">
        <f>MIN(Table1[[#This Row],[Jan Sales]:[Mar Sales]])</f>
        <v>80</v>
      </c>
    </row>
    <row r="8" spans="1:11" x14ac:dyDescent="0.3">
      <c r="A8" t="s">
        <v>15</v>
      </c>
      <c r="B8" t="s">
        <v>16</v>
      </c>
      <c r="C8" s="10">
        <v>200</v>
      </c>
      <c r="D8" s="10">
        <v>250</v>
      </c>
      <c r="E8" s="10">
        <v>300</v>
      </c>
      <c r="F8" s="11">
        <f t="shared" si="0"/>
        <v>750</v>
      </c>
      <c r="G8" s="10">
        <f>AVERAGE(Table1[[#This Row],[Jan Sales]:[Mar Sales]])</f>
        <v>250</v>
      </c>
      <c r="H8" s="10">
        <f>MAX(Table1[[#This Row],[Jan Sales]:[Mar Sales]])</f>
        <v>300</v>
      </c>
      <c r="I8" s="10">
        <f>MIN(Table1[[#This Row],[Jan Sales]:[Mar Sales]])</f>
        <v>200</v>
      </c>
    </row>
    <row r="9" spans="1:11" x14ac:dyDescent="0.3">
      <c r="A9" t="s">
        <v>17</v>
      </c>
      <c r="B9" t="s">
        <v>16</v>
      </c>
      <c r="C9" s="10">
        <v>300</v>
      </c>
      <c r="D9" s="10">
        <v>350</v>
      </c>
      <c r="E9" s="10">
        <v>400</v>
      </c>
      <c r="F9" s="11">
        <f t="shared" si="0"/>
        <v>1050</v>
      </c>
      <c r="G9" s="10">
        <f>AVERAGE(Table1[[#This Row],[Jan Sales]:[Mar Sales]])</f>
        <v>350</v>
      </c>
      <c r="H9" s="10">
        <f>MAX(Table1[[#This Row],[Jan Sales]:[Mar Sales]])</f>
        <v>400</v>
      </c>
      <c r="I9" s="10">
        <f>MIN(Table1[[#This Row],[Jan Sales]:[Mar Sales]])</f>
        <v>300</v>
      </c>
    </row>
    <row r="10" spans="1:11" x14ac:dyDescent="0.3">
      <c r="A10" t="s">
        <v>18</v>
      </c>
      <c r="B10" t="s">
        <v>19</v>
      </c>
      <c r="C10" s="10">
        <v>250</v>
      </c>
      <c r="D10" s="10">
        <v>280</v>
      </c>
      <c r="E10" s="10">
        <v>320</v>
      </c>
      <c r="F10" s="11">
        <f t="shared" si="0"/>
        <v>850</v>
      </c>
      <c r="G10" s="10">
        <f>AVERAGE(Table1[[#This Row],[Jan Sales]:[Mar Sales]])</f>
        <v>283.33333333333331</v>
      </c>
      <c r="H10" s="10">
        <f>MAX(Table1[[#This Row],[Jan Sales]:[Mar Sales]])</f>
        <v>320</v>
      </c>
      <c r="I10" s="10">
        <f>MIN(Table1[[#This Row],[Jan Sales]:[Mar Sales]])</f>
        <v>250</v>
      </c>
    </row>
    <row r="11" spans="1:11" x14ac:dyDescent="0.3">
      <c r="A11" t="s">
        <v>25</v>
      </c>
      <c r="C11" s="10">
        <f>SUM(C2:C10)</f>
        <v>3450</v>
      </c>
      <c r="D11" s="10">
        <f>SUM(D2:D10)</f>
        <v>3970</v>
      </c>
      <c r="E11" s="10">
        <f>SUM(E2:E10)</f>
        <v>4390</v>
      </c>
      <c r="F11" s="11">
        <f>SUM(F2:F10)</f>
        <v>11810</v>
      </c>
      <c r="G11" s="10"/>
      <c r="H11" s="10"/>
      <c r="I11" s="10"/>
    </row>
    <row r="13" spans="1:11" ht="15" thickBot="1" x14ac:dyDescent="0.35"/>
    <row r="14" spans="1:11" ht="27.6" customHeight="1" x14ac:dyDescent="0.3">
      <c r="A14" s="4" t="s">
        <v>26</v>
      </c>
      <c r="B14" s="5"/>
      <c r="C14" s="6"/>
      <c r="D14" s="1"/>
      <c r="E14" s="1"/>
      <c r="F14" s="1"/>
      <c r="G14" s="1"/>
    </row>
    <row r="15" spans="1:11" ht="17.25" customHeight="1" x14ac:dyDescent="0.3">
      <c r="A15" s="7" t="s">
        <v>21</v>
      </c>
      <c r="B15" s="1"/>
      <c r="C15" s="14">
        <f>SUM($F$2:$F$10)</f>
        <v>11810</v>
      </c>
      <c r="D15" s="1"/>
      <c r="E15" s="1"/>
      <c r="F15" s="1"/>
      <c r="G15" s="1"/>
    </row>
    <row r="16" spans="1:11" x14ac:dyDescent="0.3">
      <c r="A16" s="7" t="s">
        <v>20</v>
      </c>
      <c r="B16" s="1"/>
      <c r="C16" s="14">
        <f>ROUND(AVERAGE($C$11:$E$11),)</f>
        <v>3937</v>
      </c>
      <c r="D16" s="1"/>
      <c r="E16" s="1"/>
      <c r="F16" s="1"/>
      <c r="G16" s="1"/>
    </row>
    <row r="17" spans="1:7" ht="13.2" customHeight="1" x14ac:dyDescent="0.3">
      <c r="A17" s="7" t="s">
        <v>22</v>
      </c>
      <c r="B17" s="1"/>
      <c r="C17" s="14">
        <f>MAX($C$11:$E$11)</f>
        <v>4390</v>
      </c>
      <c r="D17" s="1"/>
      <c r="E17" s="1"/>
      <c r="F17" s="1"/>
      <c r="G17" s="1"/>
    </row>
    <row r="18" spans="1:7" ht="13.2" customHeight="1" thickBot="1" x14ac:dyDescent="0.35">
      <c r="A18" s="8" t="s">
        <v>23</v>
      </c>
      <c r="B18" s="9"/>
      <c r="C18" s="15">
        <f>MIN($C$11:$E$11)</f>
        <v>3450</v>
      </c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1" spans="1:7" ht="20.25" customHeight="1" x14ac:dyDescent="0.3"/>
    <row r="22" spans="1:7" ht="17.25" customHeight="1" x14ac:dyDescent="0.3"/>
    <row r="25" spans="1:7" ht="19.5" customHeight="1" x14ac:dyDescent="0.3"/>
    <row r="34" ht="19.5" customHeight="1" x14ac:dyDescent="0.3"/>
  </sheetData>
  <conditionalFormatting sqref="C2:E10">
    <cfRule type="cellIs" dxfId="0" priority="1" operator="equal">
      <formula>$H2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Todd Irwin</cp:lastModifiedBy>
  <cp:revision/>
  <dcterms:created xsi:type="dcterms:W3CDTF">2025-04-10T17:53:45Z</dcterms:created>
  <dcterms:modified xsi:type="dcterms:W3CDTF">2026-05-21T15:00:38Z</dcterms:modified>
  <cp:category/>
  <cp:contentStatus/>
</cp:coreProperties>
</file>